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<sst xmlns="http://schemas.openxmlformats.org/spreadsheetml/2006/main" count="130" uniqueCount="48">
  <si>
    <r>
      <rPr>
        <b/>
        <sz val="11"/>
        <color theme="1"/>
        <rFont val="宋体"/>
        <charset val="134"/>
      </rPr>
      <t>案例——</t>
    </r>
    <r>
      <rPr>
        <sz val="11"/>
        <color theme="1"/>
        <rFont val="宋体"/>
        <charset val="134"/>
      </rPr>
      <t>以旅游为例，备选目的地有三个：南京、桂林和三亚，主要考虑因素：景观、吃住、人文和价格四种，现在需要根据各个要素科学地选出最终的目的地。</t>
    </r>
  </si>
  <si>
    <t>1.构建层次结构</t>
  </si>
  <si>
    <t>2.构建判断矩阵</t>
  </si>
  <si>
    <t>3.重点是算权重</t>
  </si>
  <si>
    <t>Z</t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</si>
  <si>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1</t>
    </r>
    <r>
      <rPr>
        <sz val="14"/>
        <color rgb="FF000000"/>
        <rFont val="宋体"/>
        <charset val="134"/>
      </rPr>
      <t>景色</t>
    </r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</si>
  <si>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2</t>
    </r>
    <r>
      <rPr>
        <sz val="14"/>
        <color rgb="FF000000"/>
        <rFont val="宋体"/>
        <charset val="134"/>
      </rPr>
      <t>吃住</t>
    </r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</si>
  <si>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3</t>
    </r>
    <r>
      <rPr>
        <sz val="14"/>
        <color rgb="FF000000"/>
        <rFont val="宋体"/>
        <charset val="134"/>
      </rPr>
      <t>价格</t>
    </r>
  </si>
  <si>
    <r>
      <rPr>
        <sz val="14"/>
        <color rgb="FF000000"/>
        <rFont val="Times New Roman"/>
        <charset val="134"/>
      </rPr>
      <t>A</t>
    </r>
    <r>
      <rPr>
        <vertAlign val="subscript"/>
        <sz val="14"/>
        <color rgb="FF000000"/>
        <rFont val="Times New Roman"/>
        <charset val="134"/>
      </rPr>
      <t>4</t>
    </r>
    <r>
      <rPr>
        <sz val="14"/>
        <color rgb="FF000000"/>
        <rFont val="宋体"/>
        <charset val="134"/>
      </rPr>
      <t>人文</t>
    </r>
  </si>
  <si>
    <t>权重</t>
  </si>
  <si>
    <t>求和</t>
  </si>
  <si>
    <t>行乘积</t>
  </si>
  <si>
    <t>开四次方</t>
  </si>
  <si>
    <t>SUM</t>
  </si>
  <si>
    <r>
      <rPr>
        <sz val="14"/>
        <color theme="1"/>
        <rFont val="Times New Roman"/>
        <charset val="134"/>
      </rPr>
      <t>3.一致性</t>
    </r>
    <r>
      <rPr>
        <sz val="14"/>
        <color rgb="FF000000"/>
        <rFont val="等线"/>
        <charset val="134"/>
      </rPr>
      <t>检验（避免存在打分的矛盾）</t>
    </r>
  </si>
  <si>
    <r>
      <rPr>
        <sz val="14"/>
        <color theme="1"/>
        <rFont val="Times New Roman"/>
        <charset val="134"/>
      </rPr>
      <t>w(</t>
    </r>
    <r>
      <rPr>
        <sz val="14"/>
        <color theme="1"/>
        <rFont val="宋体"/>
        <charset val="134"/>
      </rPr>
      <t>权重）</t>
    </r>
  </si>
  <si>
    <t>Aw(权重）</t>
  </si>
  <si>
    <r>
      <rPr>
        <sz val="14"/>
        <color theme="1"/>
        <rFont val="Times New Roman"/>
        <charset val="134"/>
      </rPr>
      <t>4.</t>
    </r>
    <r>
      <rPr>
        <sz val="14"/>
        <color theme="1"/>
        <rFont val="等线"/>
        <charset val="134"/>
      </rPr>
      <t>对四个指标值进行一一对比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</si>
  <si>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1</t>
    </r>
    <r>
      <rPr>
        <sz val="14"/>
        <color theme="1"/>
        <rFont val="等线"/>
        <charset val="134"/>
      </rPr>
      <t>景色</t>
    </r>
  </si>
  <si>
    <r>
      <rPr>
        <sz val="14"/>
        <color theme="1"/>
        <rFont val="等线"/>
        <charset val="134"/>
      </rPr>
      <t>南京</t>
    </r>
  </si>
  <si>
    <r>
      <rPr>
        <sz val="14"/>
        <color theme="1"/>
        <rFont val="等线"/>
        <charset val="134"/>
      </rPr>
      <t>桂林</t>
    </r>
  </si>
  <si>
    <r>
      <rPr>
        <sz val="14"/>
        <color theme="1"/>
        <rFont val="等线"/>
        <charset val="134"/>
      </rPr>
      <t>三亚</t>
    </r>
  </si>
  <si>
    <t>w</t>
  </si>
  <si>
    <t>Aw</t>
  </si>
  <si>
    <t>入max</t>
  </si>
  <si>
    <t>CI</t>
  </si>
  <si>
    <t>CR</t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</si>
  <si>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吃住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</si>
  <si>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价格</t>
    </r>
  </si>
  <si>
    <r>
      <rPr>
        <sz val="14"/>
        <color theme="1"/>
        <rFont val="Times New Roman"/>
        <charset val="134"/>
      </rPr>
      <t>A</t>
    </r>
    <r>
      <rPr>
        <vertAlign val="subscript"/>
        <sz val="14"/>
        <color theme="1"/>
        <rFont val="Times New Roman"/>
        <charset val="134"/>
      </rPr>
      <t>4</t>
    </r>
    <r>
      <rPr>
        <sz val="14"/>
        <color theme="1"/>
        <rFont val="宋体"/>
        <charset val="134"/>
      </rPr>
      <t>人文</t>
    </r>
  </si>
  <si>
    <t>最终方案检验：</t>
  </si>
  <si>
    <t>层次总排序一致性检验</t>
  </si>
  <si>
    <t>指标</t>
  </si>
  <si>
    <t>南京</t>
  </si>
  <si>
    <t>桂林</t>
  </si>
  <si>
    <t>三亚</t>
  </si>
  <si>
    <r>
      <rPr>
        <sz val="14"/>
        <color rgb="FF000000"/>
        <rFont val="等线"/>
        <charset val="134"/>
      </rPr>
      <t>一致性检验</t>
    </r>
    <r>
      <rPr>
        <sz val="14"/>
        <color rgb="FF000000"/>
        <rFont val="宋体"/>
        <charset val="134"/>
      </rPr>
      <t>：前面已计算的</t>
    </r>
    <r>
      <rPr>
        <sz val="14"/>
        <color rgb="FF000000"/>
        <rFont val="Times New Roman"/>
        <charset val="134"/>
      </rPr>
      <t>4</t>
    </r>
    <r>
      <rPr>
        <sz val="14"/>
        <color rgb="FF000000"/>
        <rFont val="宋体"/>
        <charset val="134"/>
      </rPr>
      <t>个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，最终矩阵的一致性检验：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Times New Roman"/>
        <charset val="134"/>
      </rPr>
      <t>=</t>
    </r>
    <r>
      <rPr>
        <sz val="14"/>
        <color rgb="FF000000"/>
        <rFont val="宋体"/>
        <charset val="134"/>
      </rPr>
      <t>景色的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*景色的权重+吃住的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*吃住的权重+价格的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*价格的权重+人文的</t>
    </r>
    <r>
      <rPr>
        <i/>
        <sz val="14"/>
        <color rgb="FF000000"/>
        <rFont val="Times New Roman"/>
        <charset val="134"/>
      </rPr>
      <t>CI</t>
    </r>
    <r>
      <rPr>
        <sz val="14"/>
        <color rgb="FF000000"/>
        <rFont val="宋体"/>
        <charset val="134"/>
      </rPr>
      <t>*人文的权重；</t>
    </r>
    <r>
      <rPr>
        <i/>
        <sz val="14"/>
        <color rgb="FF000000"/>
        <rFont val="Times New Roman"/>
        <charset val="134"/>
      </rPr>
      <t>RI</t>
    </r>
    <r>
      <rPr>
        <sz val="14"/>
        <color rgb="FF000000"/>
        <rFont val="宋体"/>
        <charset val="134"/>
      </rPr>
      <t>值同理；</t>
    </r>
    <r>
      <rPr>
        <i/>
        <sz val="14"/>
        <color rgb="FF000000"/>
        <rFont val="Times New Roman"/>
        <charset val="134"/>
      </rPr>
      <t>CR=CI/RI&lt;0.1</t>
    </r>
  </si>
  <si>
    <t>CI = 0.003703</t>
  </si>
  <si>
    <t>景色</t>
  </si>
  <si>
    <t>RI = 0.580000</t>
  </si>
  <si>
    <t>吃住</t>
  </si>
  <si>
    <t>CR = 0.0064 &lt; 0.1 ✓ 通过一致性检验</t>
  </si>
  <si>
    <t>价格</t>
  </si>
  <si>
    <t>人文</t>
  </si>
  <si>
    <t>最终得分</t>
  </si>
  <si>
    <t/>
  </si>
  <si>
    <t xml:space="preserve"> 最终推荐目的地 </t>
  </si>
  <si>
    <t>综合得分: 0.567343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</si>
</sst>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0_ "/>
    <numFmt numFmtId="179" formatCode="#\ ?/?"/>
    <numFmt numFmtId="180" formatCode="0.0000_);[Red]\(0.0000\)"/>
  </numFmts>
  <fonts count="3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  <font>
      <sz val="14"/>
      <color theme="1"/>
      <name val="Times New Roman"/>
      <charset val="134"/>
    </font>
    <font>
      <sz val="14"/>
      <color rgb="FF000000"/>
      <name val="宋体"/>
      <charset val="134"/>
    </font>
    <font>
      <i/>
      <sz val="11"/>
      <color theme="1"/>
      <name val="Times New Roman"/>
      <charset val="134"/>
    </font>
    <font>
      <b/>
      <sz val="1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4"/>
      <color rgb="FF000000"/>
      <name val="等线"/>
      <charset val="134"/>
    </font>
    <font>
      <b/>
      <sz val="11"/>
      <color rgb="FF006100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b/>
      <sz val="20"/>
      <color rgb="FF006100"/>
      <name val="等线"/>
      <charset val="134"/>
      <scheme val="minor"/>
    </font>
    <font>
      <b/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4"/>
      <color rgb="FF000000"/>
      <name val="Times New Roman"/>
      <charset val="134"/>
    </font>
    <font>
      <sz val="14"/>
      <color theme="1"/>
      <name val="等线"/>
      <charset val="134"/>
    </font>
    <font>
      <vertAlign val="subscript"/>
      <sz val="14"/>
      <color theme="1"/>
      <name val="Times New Roman"/>
      <charset val="134"/>
    </font>
    <font>
      <i/>
      <sz val="14"/>
      <color rgb="FF000000"/>
      <name val="Times New Roman"/>
      <charset val="134"/>
    </font>
    <font>
      <b/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7999206518753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11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177" fontId="4" fillId="0" borderId="2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 readingOrder="1"/>
    </xf>
    <xf numFmtId="177" fontId="4" fillId="2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 readingOrder="1"/>
    </xf>
    <xf numFmtId="0" fontId="0" fillId="2" borderId="0" xfId="0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right" vertical="center"/>
    </xf>
    <xf numFmtId="178" fontId="0" fillId="0" borderId="0" xfId="0" applyNumberFormat="1" applyAlignment="1">
      <alignment horizontal="left" vertical="center"/>
    </xf>
    <xf numFmtId="178" fontId="0" fillId="4" borderId="0" xfId="0" applyNumberFormat="1" applyFill="1" applyAlignment="1">
      <alignment horizontal="left" vertical="center"/>
    </xf>
    <xf numFmtId="176" fontId="4" fillId="0" borderId="2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 readingOrder="1"/>
    </xf>
    <xf numFmtId="0" fontId="0" fillId="5" borderId="0" xfId="0" applyFill="1">
      <alignment vertical="center"/>
    </xf>
    <xf numFmtId="0" fontId="7" fillId="0" borderId="2" xfId="0" applyFont="1" applyFill="1" applyBorder="1" applyAlignment="1"/>
    <xf numFmtId="0" fontId="0" fillId="0" borderId="2" xfId="0" applyFont="1" applyFill="1" applyBorder="1" applyAlignment="1"/>
    <xf numFmtId="0" fontId="8" fillId="6" borderId="2" xfId="0" applyFont="1" applyFill="1" applyBorder="1" applyAlignment="1">
      <alignment horizontal="center"/>
    </xf>
    <xf numFmtId="49" fontId="9" fillId="0" borderId="0" xfId="0" applyNumberFormat="1" applyFont="1" applyAlignment="1">
      <alignment horizontal="center" vertical="center" wrapText="1" readingOrder="1"/>
    </xf>
    <xf numFmtId="0" fontId="0" fillId="0" borderId="2" xfId="0" applyFont="1" applyFill="1" applyBorder="1" applyAlignment="1">
      <alignment horizontal="center"/>
    </xf>
    <xf numFmtId="178" fontId="0" fillId="0" borderId="2" xfId="0" applyNumberFormat="1" applyFont="1" applyFill="1" applyBorder="1" applyAlignment="1">
      <alignment horizontal="center"/>
    </xf>
    <xf numFmtId="0" fontId="10" fillId="0" borderId="2" xfId="0" applyFont="1" applyFill="1" applyBorder="1" applyAlignment="1"/>
    <xf numFmtId="0" fontId="10" fillId="7" borderId="2" xfId="0" applyFont="1" applyFill="1" applyBorder="1" applyAlignment="1">
      <alignment horizontal="center"/>
    </xf>
    <xf numFmtId="178" fontId="10" fillId="7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11" fillId="0" borderId="5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3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5"/>
  <sheetViews>
    <sheetView tabSelected="1" zoomScale="90" zoomScaleNormal="90" topLeftCell="A39" workbookViewId="0">
      <selection activeCell="K57" sqref="K57"/>
    </sheetView>
  </sheetViews>
  <sheetFormatPr defaultColWidth="9.00833333333333" defaultRowHeight="14.25"/>
  <cols>
    <col min="1" max="1" width="12.8" customWidth="1"/>
    <col min="2" max="2" width="14.9333333333333" customWidth="1"/>
    <col min="3" max="3" width="16.5333333333333" customWidth="1"/>
    <col min="4" max="4" width="13.3333333333333" customWidth="1"/>
    <col min="5" max="5" width="17.2666666666667" customWidth="1"/>
    <col min="6" max="6" width="15.4666666666667" customWidth="1"/>
    <col min="7" max="7" width="21.1333333333333" customWidth="1"/>
    <col min="8" max="8" width="9.2" customWidth="1"/>
    <col min="9" max="9" width="10.8" customWidth="1"/>
    <col min="10" max="10" width="13.75"/>
    <col min="11" max="11" width="19.8666666666667" customWidth="1"/>
    <col min="12" max="12" width="16.4416666666667" customWidth="1"/>
    <col min="13" max="13" width="19.0666666666667" customWidth="1"/>
    <col min="15" max="15" width="19.2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1</v>
      </c>
      <c r="B2" s="2"/>
    </row>
    <row r="3" spans="1:18">
      <c r="A3" s="2" t="s">
        <v>2</v>
      </c>
      <c r="B3" s="2"/>
    </row>
    <row r="4" spans="1:18">
      <c r="A4" s="3" t="s">
        <v>3</v>
      </c>
      <c r="B4" s="3"/>
    </row>
    <row r="5" ht="23.25" spans="1:1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5" t="s">
        <v>9</v>
      </c>
    </row>
    <row r="6" ht="23.25" spans="1:18">
      <c r="A6" s="4" t="s">
        <v>5</v>
      </c>
      <c r="B6" s="6">
        <v>1</v>
      </c>
      <c r="C6" s="6">
        <v>0.25</v>
      </c>
      <c r="D6" s="6">
        <v>2</v>
      </c>
      <c r="E6" s="7">
        <v>0.33</v>
      </c>
      <c r="G6" s="4" t="s">
        <v>5</v>
      </c>
      <c r="H6" s="8">
        <f>B6/B10</f>
        <v>0.117647058823529</v>
      </c>
      <c r="I6" s="8">
        <f>C6/$C$10</f>
        <v>0.132978723404255</v>
      </c>
      <c r="J6" s="8">
        <f>D6/$D$10</f>
        <v>0.125</v>
      </c>
      <c r="K6" s="8">
        <f>E6/$E$10</f>
        <v>0.0934844192634561</v>
      </c>
      <c r="L6" s="9">
        <f>(H6+I6+J6+K6)/4</f>
        <v>0.11727755037281</v>
      </c>
    </row>
    <row r="7" ht="23.25" spans="1:18">
      <c r="A7" s="4" t="s">
        <v>6</v>
      </c>
      <c r="B7" s="6">
        <v>4</v>
      </c>
      <c r="C7" s="6">
        <v>1</v>
      </c>
      <c r="D7" s="6">
        <v>8</v>
      </c>
      <c r="E7" s="6">
        <v>2</v>
      </c>
      <c r="G7" s="4" t="s">
        <v>6</v>
      </c>
      <c r="H7" s="8">
        <f>B7/$B$10</f>
        <v>0.470588235294118</v>
      </c>
      <c r="I7" s="8">
        <f>C7/$C$10</f>
        <v>0.531914893617021</v>
      </c>
      <c r="J7" s="8">
        <f>D7/$D$10</f>
        <v>0.5</v>
      </c>
      <c r="K7" s="8">
        <f>E7/$E$10</f>
        <v>0.56657223796034</v>
      </c>
      <c r="L7" s="9">
        <f>(H7+I7+J7+K7)/4</f>
        <v>0.51726884171787</v>
      </c>
    </row>
    <row r="8" ht="23.25" spans="1:18">
      <c r="A8" s="4" t="s">
        <v>7</v>
      </c>
      <c r="B8" s="7">
        <v>0.5</v>
      </c>
      <c r="C8" s="6">
        <v>0.13</v>
      </c>
      <c r="D8" s="6">
        <v>1</v>
      </c>
      <c r="E8" s="7">
        <v>0.2</v>
      </c>
      <c r="G8" s="4" t="s">
        <v>7</v>
      </c>
      <c r="H8" s="8">
        <f>B8/$B$10</f>
        <v>0.0588235294117647</v>
      </c>
      <c r="I8" s="8">
        <f>C8/$C$10</f>
        <v>0.0691489361702128</v>
      </c>
      <c r="J8" s="8">
        <f>D8/$D$10</f>
        <v>0.0625</v>
      </c>
      <c r="K8" s="8">
        <f>E8/$E$10</f>
        <v>0.056657223796034</v>
      </c>
      <c r="L8" s="9">
        <f>(H8+I8+J8+K8)/4</f>
        <v>0.0617824223445029</v>
      </c>
    </row>
    <row r="9" ht="23.25" spans="1:18">
      <c r="A9" s="4" t="s">
        <v>8</v>
      </c>
      <c r="B9" s="6">
        <v>3</v>
      </c>
      <c r="C9" s="7">
        <v>0.5</v>
      </c>
      <c r="D9" s="6">
        <v>5</v>
      </c>
      <c r="E9" s="6">
        <v>1</v>
      </c>
      <c r="G9" s="4" t="s">
        <v>8</v>
      </c>
      <c r="H9" s="8">
        <f>B9/$B$10</f>
        <v>0.352941176470588</v>
      </c>
      <c r="I9" s="8">
        <f>C9/$C$10</f>
        <v>0.265957446808511</v>
      </c>
      <c r="J9" s="8">
        <f>D9/$D$10</f>
        <v>0.3125</v>
      </c>
      <c r="K9" s="8">
        <f>E9/$E$10</f>
        <v>0.28328611898017</v>
      </c>
      <c r="L9" s="9">
        <f>(H9+I9+J9+K9)/4</f>
        <v>0.303671185564817</v>
      </c>
    </row>
    <row r="10" ht="25.05" customHeight="1" spans="1:18">
      <c r="A10" s="5" t="s">
        <v>10</v>
      </c>
      <c r="B10" s="10">
        <f>SUM(B6:B9)</f>
        <v>8.5</v>
      </c>
      <c r="C10" s="10">
        <f>SUM(C6:C9)</f>
        <v>1.88</v>
      </c>
      <c r="D10" s="10">
        <f>SUM(D6:D9)</f>
        <v>16</v>
      </c>
      <c r="E10" s="10">
        <f>SUM(E6:E9)</f>
        <v>3.53</v>
      </c>
      <c r="H10" s="11"/>
      <c r="I10" s="11"/>
    </row>
    <row r="13" ht="23.25" spans="1:18">
      <c r="A13" s="4" t="s">
        <v>4</v>
      </c>
      <c r="B13" s="4" t="s">
        <v>5</v>
      </c>
      <c r="C13" s="4" t="s">
        <v>6</v>
      </c>
      <c r="D13" s="4" t="s">
        <v>7</v>
      </c>
      <c r="E13" s="4" t="s">
        <v>8</v>
      </c>
      <c r="F13" s="12" t="s">
        <v>11</v>
      </c>
      <c r="G13" s="12" t="s">
        <v>12</v>
      </c>
      <c r="H13" s="12" t="s">
        <v>9</v>
      </c>
    </row>
    <row r="14" ht="23.25" spans="1:18">
      <c r="A14" s="4" t="s">
        <v>5</v>
      </c>
      <c r="B14" s="6">
        <v>1</v>
      </c>
      <c r="C14" s="6">
        <v>0.25</v>
      </c>
      <c r="D14" s="6">
        <v>2</v>
      </c>
      <c r="E14" s="7">
        <v>0.33</v>
      </c>
      <c r="F14" s="13">
        <f>B14*C14*E14*D14</f>
        <v>0.165</v>
      </c>
      <c r="G14" s="8">
        <f>F14^(1/4)</f>
        <v>0.63733972120981</v>
      </c>
      <c r="H14" s="14">
        <f>G14/$G$18</f>
        <v>0.116765089335443</v>
      </c>
    </row>
    <row r="15" ht="23.25" spans="1:18">
      <c r="A15" s="4" t="s">
        <v>6</v>
      </c>
      <c r="B15" s="6">
        <v>4</v>
      </c>
      <c r="C15" s="6">
        <v>1</v>
      </c>
      <c r="D15" s="6">
        <v>8</v>
      </c>
      <c r="E15" s="6">
        <v>2</v>
      </c>
      <c r="F15" s="13">
        <f>B15*C15*E15*D15</f>
        <v>64</v>
      </c>
      <c r="G15" s="8">
        <f>F15^(1/4)</f>
        <v>2.82842712474619</v>
      </c>
      <c r="H15" s="14">
        <f>G15/$G$18</f>
        <v>0.518187608443534</v>
      </c>
    </row>
    <row r="16" ht="23.25" spans="1:18">
      <c r="A16" s="4" t="s">
        <v>7</v>
      </c>
      <c r="B16" s="7">
        <v>0.5</v>
      </c>
      <c r="C16" s="6">
        <v>0.13</v>
      </c>
      <c r="D16" s="6">
        <v>1</v>
      </c>
      <c r="E16" s="7">
        <v>0.2</v>
      </c>
      <c r="F16" s="13">
        <f>B16*C16*E16*D16</f>
        <v>0.013</v>
      </c>
      <c r="G16" s="8">
        <f>F16^(1/4)</f>
        <v>0.337664837538518</v>
      </c>
      <c r="H16" s="14">
        <f>G16/$G$18</f>
        <v>0.0618625571395128</v>
      </c>
    </row>
    <row r="17" ht="23.25" spans="1:15">
      <c r="A17" s="4" t="s">
        <v>8</v>
      </c>
      <c r="B17" s="6">
        <v>3</v>
      </c>
      <c r="C17" s="7">
        <v>0.5</v>
      </c>
      <c r="D17" s="6">
        <v>5</v>
      </c>
      <c r="E17" s="6">
        <v>1</v>
      </c>
      <c r="F17" s="13">
        <f>B17*C17*E17*D17</f>
        <v>7.5</v>
      </c>
      <c r="G17" s="8">
        <f>F17^(1/4)</f>
        <v>1.65487545982344</v>
      </c>
      <c r="H17" s="14">
        <f>G17/$G$18</f>
        <v>0.30318474508151</v>
      </c>
    </row>
    <row r="18" ht="18.75" spans="1:15">
      <c r="A18" s="15" t="s">
        <v>13</v>
      </c>
      <c r="B18" s="16"/>
      <c r="C18" s="16"/>
      <c r="D18" s="16"/>
      <c r="E18" s="16"/>
      <c r="F18" s="16"/>
      <c r="G18" s="13">
        <f>SUM(G14:G17)</f>
        <v>5.45830714331795</v>
      </c>
    </row>
    <row r="20" ht="17.65" customHeight="1" spans="1:15">
      <c r="A20" s="17" t="s">
        <v>14</v>
      </c>
      <c r="B20" s="17"/>
      <c r="C20" s="17"/>
    </row>
    <row r="21" ht="25.05" customHeight="1" spans="1:15">
      <c r="A21" s="18" t="s">
        <v>4</v>
      </c>
      <c r="B21" s="4" t="s">
        <v>5</v>
      </c>
      <c r="C21" s="4" t="s">
        <v>6</v>
      </c>
      <c r="D21" s="4" t="s">
        <v>7</v>
      </c>
      <c r="E21" s="4" t="s">
        <v>8</v>
      </c>
      <c r="F21" s="18" t="s">
        <v>15</v>
      </c>
      <c r="G21" s="19" t="s">
        <v>16</v>
      </c>
    </row>
    <row r="22" ht="25.05" customHeight="1" spans="1:15">
      <c r="A22" s="4" t="s">
        <v>5</v>
      </c>
      <c r="B22" s="6">
        <v>1</v>
      </c>
      <c r="C22" s="6">
        <v>0.25</v>
      </c>
      <c r="D22" s="6">
        <v>2</v>
      </c>
      <c r="E22" s="7">
        <v>0.33</v>
      </c>
      <c r="F22" s="14">
        <v>0.11727755037281</v>
      </c>
      <c r="G22" s="13">
        <f>B22*$F$22+C22*$F$23+D22*$F$24+E22*$F$25</f>
        <v>0.470371096727673</v>
      </c>
    </row>
    <row r="23" ht="25.05" customHeight="1" spans="1:15">
      <c r="A23" s="4" t="s">
        <v>6</v>
      </c>
      <c r="B23" s="6">
        <v>4</v>
      </c>
      <c r="C23" s="6">
        <v>1</v>
      </c>
      <c r="D23" s="6">
        <v>8</v>
      </c>
      <c r="E23" s="6">
        <v>2</v>
      </c>
      <c r="F23" s="14">
        <v>0.51726884171787</v>
      </c>
      <c r="G23" s="13">
        <f>B23*$F$22+C23*$F$23+D23*$F$24+E23*$F$25</f>
        <v>2.08798079309477</v>
      </c>
      <c r="J23" s="20"/>
      <c r="L23" s="21"/>
      <c r="M23" s="20"/>
    </row>
    <row r="24" ht="25.05" customHeight="1" spans="1:15">
      <c r="A24" s="4" t="s">
        <v>7</v>
      </c>
      <c r="B24" s="7">
        <v>0.5</v>
      </c>
      <c r="C24" s="6">
        <v>0.13</v>
      </c>
      <c r="D24" s="6">
        <v>1</v>
      </c>
      <c r="E24" s="7">
        <v>0.2</v>
      </c>
      <c r="F24" s="14">
        <v>0.0617824223445029</v>
      </c>
      <c r="G24" s="13">
        <f>B24*$F$22+C24*$F$23+D24*$F$24+E24*$F$25</f>
        <v>0.248400384067194</v>
      </c>
      <c r="L24" s="21"/>
      <c r="M24" s="2"/>
      <c r="N24" s="20"/>
    </row>
    <row r="25" ht="25.05" customHeight="1" spans="1:15">
      <c r="A25" s="4" t="s">
        <v>8</v>
      </c>
      <c r="B25" s="6">
        <v>3</v>
      </c>
      <c r="C25" s="7">
        <v>0.5</v>
      </c>
      <c r="D25" s="6">
        <v>5</v>
      </c>
      <c r="E25" s="6">
        <v>1</v>
      </c>
      <c r="F25" s="14">
        <v>0.303671185564817</v>
      </c>
      <c r="G25" s="13">
        <f>B25*$F$22+C25*$F$23+D25*$F$24+E25*$F$25</f>
        <v>1.2230503692647</v>
      </c>
      <c r="M25" s="21"/>
      <c r="N25" s="20"/>
      <c r="O25" s="22"/>
    </row>
    <row r="27" ht="18.75" spans="1:15">
      <c r="A27" s="17" t="s">
        <v>17</v>
      </c>
      <c r="B27" s="17"/>
      <c r="C27" s="17"/>
    </row>
    <row r="29" ht="23.25" spans="1:15">
      <c r="A29" s="18" t="s">
        <v>18</v>
      </c>
      <c r="B29" s="18" t="s">
        <v>19</v>
      </c>
      <c r="C29" s="18" t="s">
        <v>20</v>
      </c>
      <c r="D29" s="18" t="s">
        <v>21</v>
      </c>
      <c r="E29" s="18" t="s">
        <v>19</v>
      </c>
      <c r="F29" s="18" t="s">
        <v>20</v>
      </c>
      <c r="G29" s="18" t="s">
        <v>21</v>
      </c>
      <c r="H29" s="18" t="s">
        <v>22</v>
      </c>
      <c r="I29" s="14" t="s">
        <v>23</v>
      </c>
      <c r="J29" s="14"/>
      <c r="K29" s="23"/>
      <c r="L29" s="24"/>
      <c r="M29" s="25"/>
    </row>
    <row r="30" ht="18.75" spans="1:15">
      <c r="A30" s="18" t="s">
        <v>19</v>
      </c>
      <c r="B30" s="26">
        <v>1</v>
      </c>
      <c r="C30" s="27">
        <v>0.25</v>
      </c>
      <c r="D30" s="26">
        <v>2</v>
      </c>
      <c r="E30" s="14">
        <f>B30/$B$33</f>
        <v>0.181818181818182</v>
      </c>
      <c r="F30" s="14">
        <f>C30/$C$33</f>
        <v>0.181818181818182</v>
      </c>
      <c r="G30" s="14">
        <f>D30/$D$33</f>
        <v>0.181818181818182</v>
      </c>
      <c r="H30" s="14">
        <f>(E30+F30+G30)/3</f>
        <v>0.181818181818182</v>
      </c>
      <c r="I30" s="14">
        <f>B30*$H$30+C30*$H$31+D30*$H$32</f>
        <v>0.545454545454545</v>
      </c>
      <c r="J30" s="28">
        <f>(I30/H30+I31/H31+I32/H32)/3</f>
        <v>3</v>
      </c>
      <c r="K30" s="29" t="s">
        <v>24</v>
      </c>
      <c r="L30" s="30"/>
    </row>
    <row r="31" ht="18.75" spans="1:15">
      <c r="A31" s="18" t="s">
        <v>20</v>
      </c>
      <c r="B31" s="26">
        <v>4</v>
      </c>
      <c r="C31" s="26">
        <v>1</v>
      </c>
      <c r="D31" s="26">
        <v>8</v>
      </c>
      <c r="E31" s="14">
        <f>B31/$B$33</f>
        <v>0.727272727272727</v>
      </c>
      <c r="F31" s="14">
        <f>C31/$C$33</f>
        <v>0.727272727272727</v>
      </c>
      <c r="G31" s="14">
        <f>D31/$D$33</f>
        <v>0.727272727272727</v>
      </c>
      <c r="H31" s="14">
        <f>(E31+F31+G31)/3</f>
        <v>0.727272727272727</v>
      </c>
      <c r="I31" s="14">
        <f>B31*$H$30+C31*$H$31+D31*$H$32</f>
        <v>2.18181818181818</v>
      </c>
      <c r="J31" s="28">
        <f>(J30-3)/2</f>
        <v>0</v>
      </c>
      <c r="K31" s="29" t="s">
        <v>25</v>
      </c>
      <c r="L31" s="31"/>
    </row>
    <row r="32" ht="18.75" spans="1:15">
      <c r="A32" s="18" t="s">
        <v>21</v>
      </c>
      <c r="B32" s="27">
        <v>0.5</v>
      </c>
      <c r="C32" s="27">
        <v>0.125</v>
      </c>
      <c r="D32" s="26">
        <v>1</v>
      </c>
      <c r="E32" s="14">
        <f>B32/$B$33</f>
        <v>0.0909090909090909</v>
      </c>
      <c r="F32" s="14">
        <f>C32/$C$33</f>
        <v>0.0909090909090909</v>
      </c>
      <c r="G32" s="14">
        <f>D32/$D$33</f>
        <v>0.0909090909090909</v>
      </c>
      <c r="H32" s="14">
        <f>(E32+F32+G32)/3</f>
        <v>0.0909090909090909</v>
      </c>
      <c r="I32" s="14">
        <f>B32*$H$30+C32*$H$31+D32*$H$32</f>
        <v>0.272727272727273</v>
      </c>
      <c r="J32" s="28">
        <f>J31/0.52</f>
        <v>0</v>
      </c>
      <c r="K32" s="32" t="s">
        <v>26</v>
      </c>
      <c r="L32" s="30"/>
    </row>
    <row r="33" ht="18.75" spans="1:12">
      <c r="A33" s="21"/>
      <c r="B33" s="33">
        <f>B30+B31+B32</f>
        <v>5.5</v>
      </c>
      <c r="C33" s="33">
        <f>C30+C31+C32</f>
        <v>1.375</v>
      </c>
      <c r="D33" s="33">
        <f>D30+D31+D32</f>
        <v>11</v>
      </c>
      <c r="J33" s="34"/>
      <c r="K33" s="35"/>
      <c r="L33" s="35"/>
    </row>
    <row r="34" spans="1:12">
      <c r="J34" s="34"/>
      <c r="K34" s="35"/>
      <c r="L34" s="35"/>
    </row>
    <row r="35" ht="23.25" spans="1:12">
      <c r="A35" s="18" t="s">
        <v>27</v>
      </c>
      <c r="B35" s="18" t="s">
        <v>19</v>
      </c>
      <c r="C35" s="18" t="s">
        <v>20</v>
      </c>
      <c r="D35" s="18" t="s">
        <v>21</v>
      </c>
      <c r="E35" s="18" t="s">
        <v>19</v>
      </c>
      <c r="F35" s="18" t="s">
        <v>20</v>
      </c>
      <c r="G35" s="18" t="s">
        <v>21</v>
      </c>
      <c r="H35" s="18" t="s">
        <v>22</v>
      </c>
      <c r="I35" s="14" t="s">
        <v>23</v>
      </c>
      <c r="J35" s="36"/>
      <c r="K35" s="29"/>
      <c r="L35" s="35"/>
    </row>
    <row r="36" ht="18.75" spans="1:12">
      <c r="A36" s="18" t="s">
        <v>19</v>
      </c>
      <c r="B36" s="26">
        <v>1</v>
      </c>
      <c r="C36" s="27">
        <v>5</v>
      </c>
      <c r="D36" s="26">
        <v>2</v>
      </c>
      <c r="E36" s="14">
        <f>B36/$B$39</f>
        <v>0.588235294117647</v>
      </c>
      <c r="F36" s="14">
        <f>C36/$C$39</f>
        <v>0.625</v>
      </c>
      <c r="G36" s="14">
        <f>D36/$D$39</f>
        <v>0.571428571428571</v>
      </c>
      <c r="H36" s="14">
        <f>(E36+F36+G36)/3</f>
        <v>0.594887955182073</v>
      </c>
      <c r="I36" s="14">
        <f>B36*$H$36+C36*$H$37+D36*$H$38</f>
        <v>1.7906162464986</v>
      </c>
      <c r="J36" s="28">
        <f>(I36/H36+I37/H37+I38/H38)/3</f>
        <v>3.00553870069143</v>
      </c>
      <c r="K36" s="29" t="s">
        <v>24</v>
      </c>
      <c r="L36" s="35"/>
    </row>
    <row r="37" ht="18.75" spans="1:12">
      <c r="A37" s="18" t="s">
        <v>20</v>
      </c>
      <c r="B37" s="27">
        <v>0.2</v>
      </c>
      <c r="C37" s="26">
        <v>1</v>
      </c>
      <c r="D37" s="27">
        <v>0.5</v>
      </c>
      <c r="E37" s="14">
        <f>B37/$B$39</f>
        <v>0.117647058823529</v>
      </c>
      <c r="F37" s="14">
        <f>C37/$C$39</f>
        <v>0.125</v>
      </c>
      <c r="G37" s="14">
        <f>D37/$D$39</f>
        <v>0.142857142857143</v>
      </c>
      <c r="H37" s="14">
        <f>(E37+F37+G37)/3</f>
        <v>0.128501400560224</v>
      </c>
      <c r="I37" s="14">
        <f>B37*$H$36+C37*$H$37+D37*$H$38</f>
        <v>0.38578431372549</v>
      </c>
      <c r="J37" s="28">
        <f>(J36-3)/2</f>
        <v>0.00276935034571402</v>
      </c>
      <c r="K37" s="29" t="s">
        <v>25</v>
      </c>
      <c r="L37" s="35"/>
    </row>
    <row r="38" ht="18.75" spans="1:12">
      <c r="A38" s="18" t="s">
        <v>21</v>
      </c>
      <c r="B38" s="27">
        <v>0.5</v>
      </c>
      <c r="C38" s="27">
        <v>2</v>
      </c>
      <c r="D38" s="26">
        <v>1</v>
      </c>
      <c r="E38" s="14">
        <f>B38/$B$39</f>
        <v>0.294117647058824</v>
      </c>
      <c r="F38" s="14">
        <f>C38/$C$39</f>
        <v>0.25</v>
      </c>
      <c r="G38" s="14">
        <f>D38/$D$39</f>
        <v>0.285714285714286</v>
      </c>
      <c r="H38" s="14">
        <f>(E38+F38+G38)/3</f>
        <v>0.276610644257703</v>
      </c>
      <c r="I38" s="14">
        <f>B38*$H$36+C38*$H$37+D38*$H$38</f>
        <v>0.831057422969188</v>
      </c>
      <c r="J38" s="28">
        <f>J37/0.52</f>
        <v>0.00532567374175772</v>
      </c>
      <c r="K38" s="32" t="s">
        <v>26</v>
      </c>
      <c r="L38" s="35"/>
    </row>
    <row r="39" ht="18.75" spans="1:12">
      <c r="A39" s="21"/>
      <c r="B39" s="33">
        <f>B36+B37+B38</f>
        <v>1.7</v>
      </c>
      <c r="C39" s="33">
        <f>C36+C37+C38</f>
        <v>8</v>
      </c>
      <c r="D39" s="33">
        <f>D36+D37+D38</f>
        <v>3.5</v>
      </c>
      <c r="E39" s="37"/>
      <c r="F39" s="37"/>
      <c r="G39" s="37"/>
      <c r="H39" s="37"/>
      <c r="I39" s="37"/>
      <c r="J39" s="28"/>
      <c r="K39" s="35"/>
      <c r="L39" s="35"/>
    </row>
    <row r="40" ht="18.75" spans="1:12">
      <c r="J40" s="28"/>
      <c r="K40" s="35"/>
      <c r="L40" s="35"/>
    </row>
    <row r="41" ht="23.25" spans="1:12">
      <c r="A41" s="18" t="s">
        <v>28</v>
      </c>
      <c r="B41" s="18" t="s">
        <v>19</v>
      </c>
      <c r="C41" s="18" t="s">
        <v>20</v>
      </c>
      <c r="D41" s="18" t="s">
        <v>21</v>
      </c>
      <c r="E41" s="18" t="s">
        <v>19</v>
      </c>
      <c r="F41" s="18" t="s">
        <v>20</v>
      </c>
      <c r="G41" s="18" t="s">
        <v>21</v>
      </c>
      <c r="H41" s="18" t="s">
        <v>22</v>
      </c>
      <c r="I41" s="14" t="s">
        <v>23</v>
      </c>
      <c r="J41" s="28"/>
      <c r="K41" s="29"/>
      <c r="L41" s="35"/>
    </row>
    <row r="42" ht="18.75" spans="1:12">
      <c r="A42" s="18" t="s">
        <v>19</v>
      </c>
      <c r="B42" s="26">
        <v>1</v>
      </c>
      <c r="C42" s="27">
        <v>0.333333333333333</v>
      </c>
      <c r="D42" s="26">
        <v>2</v>
      </c>
      <c r="E42" s="14">
        <f>B42/$B$45</f>
        <v>0.222222222222222</v>
      </c>
      <c r="F42" s="14">
        <f>C42/$C$45</f>
        <v>0.217391304347826</v>
      </c>
      <c r="G42" s="14">
        <f>D42/$D$45</f>
        <v>0.25</v>
      </c>
      <c r="H42" s="14">
        <f>(E42+F42+G42)/3</f>
        <v>0.229871175523349</v>
      </c>
      <c r="I42" s="14">
        <f>B42*$H$42+C42*$H$43+D42*$H$44</f>
        <v>0.690217391304348</v>
      </c>
      <c r="J42" s="28">
        <f>(I42/H42+I43/H43+I44/H44)/3</f>
        <v>3.00369666783488</v>
      </c>
      <c r="K42" s="29" t="s">
        <v>24</v>
      </c>
      <c r="L42" s="35"/>
    </row>
    <row r="43" ht="18.75" spans="1:12">
      <c r="A43" s="18" t="s">
        <v>20</v>
      </c>
      <c r="B43" s="27">
        <v>3</v>
      </c>
      <c r="C43" s="26">
        <v>1</v>
      </c>
      <c r="D43" s="27">
        <v>5</v>
      </c>
      <c r="E43" s="14">
        <f>B43/$B$45</f>
        <v>0.666666666666667</v>
      </c>
      <c r="F43" s="14">
        <f>C43/$C$45</f>
        <v>0.652173913043478</v>
      </c>
      <c r="G43" s="14">
        <f>D43/$D$45</f>
        <v>0.625</v>
      </c>
      <c r="H43" s="14">
        <f>(E43+F43+G43)/3</f>
        <v>0.647946859903382</v>
      </c>
      <c r="I43" s="14">
        <f>B43*$H$42+C43*$H$43+D43*$H$44</f>
        <v>1.94847020933977</v>
      </c>
      <c r="J43" s="28">
        <f>(J42-3)/2</f>
        <v>0.00184833391744221</v>
      </c>
      <c r="K43" s="29" t="s">
        <v>25</v>
      </c>
      <c r="L43" s="35"/>
    </row>
    <row r="44" ht="18.75" spans="1:12">
      <c r="A44" s="18" t="s">
        <v>21</v>
      </c>
      <c r="B44" s="27">
        <v>0.5</v>
      </c>
      <c r="C44" s="27">
        <v>0.2</v>
      </c>
      <c r="D44" s="26">
        <v>1</v>
      </c>
      <c r="E44" s="14">
        <f>B44/$B$45</f>
        <v>0.111111111111111</v>
      </c>
      <c r="F44" s="14">
        <f>C44/$C$45</f>
        <v>0.130434782608696</v>
      </c>
      <c r="G44" s="14">
        <f>D44/$D$45</f>
        <v>0.125</v>
      </c>
      <c r="H44" s="14">
        <f>(E44+F44+G44)/3</f>
        <v>0.122181964573269</v>
      </c>
      <c r="I44" s="14">
        <f>B44*$H$42+C44*$H$43+D44*$H$44</f>
        <v>0.36670692431562</v>
      </c>
      <c r="J44" s="28">
        <f>J43/0.52</f>
        <v>0.00355448830277349</v>
      </c>
      <c r="K44" s="32" t="s">
        <v>26</v>
      </c>
      <c r="L44" s="35"/>
    </row>
    <row r="45" ht="18.75" spans="1:12">
      <c r="A45" s="21"/>
      <c r="B45" s="33">
        <f>B42+B43+B44</f>
        <v>4.5</v>
      </c>
      <c r="C45" s="33">
        <f>C42+C43+C44</f>
        <v>1.53333333333333</v>
      </c>
      <c r="D45" s="33">
        <f>D42+D43+D44</f>
        <v>8</v>
      </c>
      <c r="E45" s="37"/>
      <c r="F45" s="37"/>
      <c r="G45" s="37"/>
      <c r="H45" s="37"/>
      <c r="I45" s="37"/>
      <c r="J45" s="28"/>
      <c r="K45" s="35"/>
      <c r="L45" s="35"/>
    </row>
    <row r="46" ht="18.75" spans="1:12">
      <c r="J46" s="28"/>
      <c r="K46" s="35"/>
      <c r="L46" s="35"/>
    </row>
    <row r="47" ht="23.25" spans="1:12">
      <c r="A47" s="18" t="s">
        <v>29</v>
      </c>
      <c r="B47" s="18" t="s">
        <v>19</v>
      </c>
      <c r="C47" s="18" t="s">
        <v>20</v>
      </c>
      <c r="D47" s="18" t="s">
        <v>21</v>
      </c>
      <c r="E47" s="18" t="s">
        <v>19</v>
      </c>
      <c r="F47" s="18" t="s">
        <v>20</v>
      </c>
      <c r="G47" s="18" t="s">
        <v>21</v>
      </c>
      <c r="H47" s="18" t="s">
        <v>22</v>
      </c>
      <c r="I47" s="14" t="s">
        <v>23</v>
      </c>
      <c r="J47" s="28"/>
      <c r="K47" s="29"/>
      <c r="L47" s="35"/>
    </row>
    <row r="48" ht="18.75" spans="1:12">
      <c r="A48" s="18" t="s">
        <v>19</v>
      </c>
      <c r="B48" s="26">
        <v>1</v>
      </c>
      <c r="C48" s="27">
        <v>5</v>
      </c>
      <c r="D48" s="26">
        <v>7</v>
      </c>
      <c r="E48" s="14">
        <f>B48/$B$51</f>
        <v>0.74468085106383</v>
      </c>
      <c r="F48" s="14">
        <f>C48/$C$51</f>
        <v>0.769230769230769</v>
      </c>
      <c r="G48" s="14">
        <f>D48/$D$51</f>
        <v>0.7</v>
      </c>
      <c r="H48" s="14">
        <f>(E48+F48+G48)/3</f>
        <v>0.7379705400982</v>
      </c>
      <c r="I48" s="14">
        <f>B48*$H$48+C48*$H$49+D48*$H$50</f>
        <v>2.23698854337152</v>
      </c>
      <c r="J48" s="28">
        <f>(I48/H48+I49/H49+I50/H50)/3</f>
        <v>3.01420058993068</v>
      </c>
      <c r="K48" s="29" t="s">
        <v>24</v>
      </c>
      <c r="L48" s="35"/>
    </row>
    <row r="49" ht="18.75" spans="1:12">
      <c r="A49" s="18" t="s">
        <v>20</v>
      </c>
      <c r="B49" s="27">
        <v>0.2</v>
      </c>
      <c r="C49" s="26">
        <v>1</v>
      </c>
      <c r="D49" s="27">
        <v>2</v>
      </c>
      <c r="E49" s="14">
        <f>B49/$B$51</f>
        <v>0.148936170212766</v>
      </c>
      <c r="F49" s="14">
        <f>C49/$C$51</f>
        <v>0.153846153846154</v>
      </c>
      <c r="G49" s="14">
        <f>D49/$D$51</f>
        <v>0.2</v>
      </c>
      <c r="H49" s="14">
        <f>(E49+F49+G49)/3</f>
        <v>0.16759410801964</v>
      </c>
      <c r="I49" s="14">
        <f>B49*$H$48+C49*$H$49+D49*$H$50</f>
        <v>0.504058919803601</v>
      </c>
      <c r="J49" s="28">
        <f>(J48-3)/3</f>
        <v>0.0047335299768941</v>
      </c>
      <c r="K49" s="29" t="s">
        <v>25</v>
      </c>
      <c r="L49" s="35"/>
    </row>
    <row r="50" ht="18.75" spans="1:12">
      <c r="A50" s="18" t="s">
        <v>21</v>
      </c>
      <c r="B50" s="27">
        <v>0.142857142857143</v>
      </c>
      <c r="C50" s="27">
        <v>0.5</v>
      </c>
      <c r="D50" s="26">
        <v>1</v>
      </c>
      <c r="E50" s="14">
        <f>B50/$B$51</f>
        <v>0.106382978723404</v>
      </c>
      <c r="F50" s="14">
        <f>C50/$C$51</f>
        <v>0.0769230769230769</v>
      </c>
      <c r="G50" s="14">
        <f>D50/$D$51</f>
        <v>0.1</v>
      </c>
      <c r="H50" s="14">
        <f>(E50+F50+G50)/3</f>
        <v>0.0944353518821604</v>
      </c>
      <c r="I50" s="14">
        <f>B50*$H$48+C50*$H$49+D50*$H$50</f>
        <v>0.283656768763152</v>
      </c>
      <c r="J50" s="28">
        <f>J49/0.52</f>
        <v>0.00910294226325788</v>
      </c>
      <c r="K50" s="32" t="s">
        <v>26</v>
      </c>
      <c r="L50" s="35"/>
    </row>
    <row r="51" ht="35.25" customHeight="1" spans="1:12">
      <c r="A51" s="21"/>
      <c r="B51" s="33">
        <f>B50+B49+B48</f>
        <v>1.34285714285714</v>
      </c>
      <c r="C51" s="33">
        <f>C50+C49+C48</f>
        <v>6.5</v>
      </c>
      <c r="D51" s="33">
        <f>D50+D49+D48</f>
        <v>10</v>
      </c>
      <c r="K51" s="38"/>
    </row>
    <row r="52" ht="18.75" spans="1:12">
      <c r="A52" s="21"/>
    </row>
    <row r="53" ht="18.75" spans="1:12">
      <c r="A53" s="39" t="s">
        <v>30</v>
      </c>
      <c r="B53" s="38"/>
      <c r="C53" s="38"/>
      <c r="D53" s="40" t="s">
        <v>31</v>
      </c>
      <c r="E53" s="41"/>
      <c r="F53" s="38"/>
      <c r="G53" s="42" t="s">
        <v>32</v>
      </c>
      <c r="H53" s="42" t="s">
        <v>9</v>
      </c>
      <c r="I53" s="42" t="s">
        <v>33</v>
      </c>
      <c r="J53" s="42" t="s">
        <v>34</v>
      </c>
      <c r="K53" s="42" t="s">
        <v>35</v>
      </c>
    </row>
    <row r="54" spans="1:12">
      <c r="A54" s="43" t="s">
        <v>36</v>
      </c>
      <c r="B54" s="43"/>
      <c r="D54" s="41" t="s">
        <v>37</v>
      </c>
      <c r="E54" s="41"/>
      <c r="G54" s="44" t="s">
        <v>38</v>
      </c>
      <c r="H54" s="45">
        <v>0.117278</v>
      </c>
      <c r="I54" s="45">
        <v>0.181818</v>
      </c>
      <c r="J54" s="45">
        <v>0.727273</v>
      </c>
      <c r="K54" s="45">
        <v>0.090909</v>
      </c>
    </row>
    <row r="55" spans="1:12">
      <c r="A55" s="43"/>
      <c r="B55" s="43"/>
      <c r="D55" s="41" t="s">
        <v>39</v>
      </c>
      <c r="E55" s="41"/>
      <c r="G55" s="44" t="s">
        <v>40</v>
      </c>
      <c r="H55" s="45">
        <v>0.517269</v>
      </c>
      <c r="I55" s="45">
        <v>0.594888</v>
      </c>
      <c r="J55" s="45">
        <v>0.128501</v>
      </c>
      <c r="K55" s="45">
        <v>0.276611</v>
      </c>
    </row>
    <row r="56" spans="1:12">
      <c r="A56" s="43"/>
      <c r="B56" s="43"/>
      <c r="D56" s="46" t="s">
        <v>41</v>
      </c>
      <c r="E56" s="41"/>
      <c r="G56" s="44" t="s">
        <v>42</v>
      </c>
      <c r="H56" s="45">
        <v>0.061782</v>
      </c>
      <c r="I56" s="45">
        <v>0.229871</v>
      </c>
      <c r="J56" s="45">
        <v>0.647947</v>
      </c>
      <c r="K56" s="45">
        <v>0.122182</v>
      </c>
    </row>
    <row r="57" spans="1:12">
      <c r="A57" s="43"/>
      <c r="B57" s="43"/>
      <c r="G57" s="44" t="s">
        <v>43</v>
      </c>
      <c r="H57" s="45">
        <v>0.303671</v>
      </c>
      <c r="I57" s="45">
        <v>0.737971</v>
      </c>
      <c r="J57" s="45">
        <v>0.167594</v>
      </c>
      <c r="K57" s="45">
        <v>0.094435</v>
      </c>
    </row>
    <row r="58" spans="1:12">
      <c r="A58" s="43"/>
      <c r="B58" s="43"/>
      <c r="G58" s="47" t="s">
        <v>44</v>
      </c>
      <c r="H58" s="48" t="s">
        <v>45</v>
      </c>
      <c r="I58" s="48">
        <v>0.567343</v>
      </c>
      <c r="J58" s="48">
        <v>0.242688</v>
      </c>
      <c r="K58" s="48">
        <v>0.18997</v>
      </c>
    </row>
    <row r="59" spans="1:12">
      <c r="A59" s="43"/>
      <c r="B59" s="43"/>
    </row>
    <row r="60" spans="1:12">
      <c r="A60" s="43"/>
      <c r="B60" s="43"/>
      <c r="C60" s="49"/>
      <c r="D60" s="49"/>
      <c r="E60" s="49"/>
      <c r="F60" s="49"/>
    </row>
    <row r="61" spans="1:12">
      <c r="A61" s="43"/>
      <c r="B61" s="43"/>
      <c r="C61" s="49"/>
      <c r="D61" s="49"/>
      <c r="E61" s="49"/>
      <c r="F61" s="49"/>
    </row>
    <row r="62" ht="20.25" spans="1:12">
      <c r="A62" s="43"/>
      <c r="B62" s="43"/>
      <c r="C62" s="49"/>
      <c r="D62" s="50" t="s">
        <v>46</v>
      </c>
      <c r="E62" s="51"/>
      <c r="F62" s="49"/>
    </row>
    <row r="63" ht="25.5" spans="1:12">
      <c r="A63" s="43"/>
      <c r="B63" s="43"/>
      <c r="C63" s="49"/>
      <c r="D63" s="52" t="s">
        <v>33</v>
      </c>
      <c r="E63" s="53"/>
      <c r="F63" s="49"/>
    </row>
    <row r="64" ht="18" spans="1:12">
      <c r="C64" s="49"/>
      <c r="D64" s="54" t="s">
        <v>47</v>
      </c>
      <c r="E64" s="41"/>
      <c r="F64" s="49"/>
    </row>
    <row r="65" spans="3:6">
      <c r="C65" s="49"/>
      <c r="D65" s="49"/>
      <c r="E65" s="49"/>
      <c r="F65" s="49"/>
    </row>
  </sheetData>
  <mergeCells count="10">
    <mergeCell ref="A1:R1"/>
    <mergeCell ref="A2:B2"/>
    <mergeCell ref="A3:B3"/>
    <mergeCell ref="A4:B4"/>
    <mergeCell ref="H10:I10"/>
    <mergeCell ref="A20:C20"/>
    <mergeCell ref="A27:C27"/>
    <mergeCell ref="D62:E62"/>
    <mergeCell ref="D63:E63"/>
    <mergeCell ref="A54:B6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建彬 骆</dc:creator>
  <cp:lastModifiedBy>WPS_1642985943</cp:lastModifiedBy>
  <dcterms:created xsi:type="dcterms:W3CDTF">2025-11-08T07:58:00Z</dcterms:created>
  <dcterms:modified xsi:type="dcterms:W3CDTF">2026-06-02T05:42:50Z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4FB57D12B58143B7A421019DEA62EE97_12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